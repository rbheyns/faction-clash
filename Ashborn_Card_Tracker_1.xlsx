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8004D65-4A8B-4BB7-A88F-6332C4AD8A3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hborn Cards" sheetId="1" r:id="rId1"/>
    <sheet name="Ashborn Tracker" sheetId="2" r:id="rId2"/>
    <sheet name="Locked Keywords" sheetId="3" r:id="rId3"/>
    <sheet name="Unit Types" sheetId="4" r:id="rId4"/>
  </sheets>
  <definedNames>
    <definedName name="_xlnm._FilterDatabase" localSheetId="0" hidden="1">'Ashborn Cards'!$A$1:$H$16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2" l="1"/>
  <c r="C12" i="2"/>
  <c r="D12" i="2" s="1"/>
  <c r="C11" i="2"/>
  <c r="D11" i="2" s="1"/>
  <c r="C10" i="2"/>
  <c r="D10" i="2" s="1"/>
  <c r="C9" i="2"/>
  <c r="D9" i="2" s="1"/>
  <c r="C8" i="2"/>
  <c r="D8" i="2" s="1"/>
  <c r="C7" i="2"/>
  <c r="D7" i="2" s="1"/>
  <c r="C6" i="2"/>
  <c r="D6" i="2" s="1"/>
  <c r="C5" i="2"/>
  <c r="D5" i="2" s="1"/>
  <c r="C4" i="2"/>
  <c r="D4" i="2" s="1"/>
  <c r="C3" i="2"/>
  <c r="D3" i="2" s="1"/>
  <c r="C2" i="2"/>
  <c r="C13" i="2" l="1"/>
  <c r="D2" i="2"/>
  <c r="D13" i="2" s="1"/>
</calcChain>
</file>

<file path=xl/sharedStrings.xml><?xml version="1.0" encoding="utf-8"?>
<sst xmlns="http://schemas.openxmlformats.org/spreadsheetml/2006/main" count="461" uniqueCount="308">
  <si>
    <t>ID</t>
  </si>
  <si>
    <t>Card Name</t>
  </si>
  <si>
    <t>Type</t>
  </si>
  <si>
    <t>Cost</t>
  </si>
  <si>
    <t>Rarity</t>
  </si>
  <si>
    <t>Stats (ATK/DEF)</t>
  </si>
  <si>
    <t>Effect</t>
  </si>
  <si>
    <t>Flavor Text</t>
  </si>
  <si>
    <t>ASH001</t>
  </si>
  <si>
    <t>Ashborn Recruit</t>
  </si>
  <si>
    <t>Attack Unit</t>
  </si>
  <si>
    <t>Common</t>
  </si>
  <si>
    <t>1/1</t>
  </si>
  <si>
    <t>None</t>
  </si>
  <si>
    <t>We all have to start somewhere.</t>
  </si>
  <si>
    <t>ASH002</t>
  </si>
  <si>
    <t>Cinder Scroll</t>
  </si>
  <si>
    <t>Spell</t>
  </si>
  <si>
    <t>—</t>
  </si>
  <si>
    <t>Deal 1 damage to an enemy.</t>
  </si>
  <si>
    <t>Fierba… No, no. Firebawl!</t>
  </si>
  <si>
    <t>ASH003</t>
  </si>
  <si>
    <t>Camp Supplies</t>
  </si>
  <si>
    <t>Support</t>
  </si>
  <si>
    <t>+1 Health to the lowest friendly unit. Duration: 2 turns</t>
  </si>
  <si>
    <t>Not the freshest rations, but it'll do.</t>
  </si>
  <si>
    <t>ASH004</t>
  </si>
  <si>
    <t>Ashborn Trainee</t>
  </si>
  <si>
    <t>Invoke: Gain +1 Attack if this is your only Attack Unit.</t>
  </si>
  <si>
    <t>If I have to swing this sword one more time!</t>
  </si>
  <si>
    <t>ASH005</t>
  </si>
  <si>
    <t>Rallying Cry</t>
  </si>
  <si>
    <t>Draw a card.</t>
  </si>
  <si>
    <t>A little help from a friend.</t>
  </si>
  <si>
    <t>ASH006</t>
  </si>
  <si>
    <t>Legion Smith</t>
  </si>
  <si>
    <t>Support Unit</t>
  </si>
  <si>
    <t>0/2</t>
  </si>
  <si>
    <t xml:space="preserve">Start of Turn: Give the friendly unit with the lowest Attack +1 Attack. </t>
  </si>
  <si>
    <t>A sharper blade is cheaper than a new recruit.</t>
  </si>
  <si>
    <t>ASH007</t>
  </si>
  <si>
    <t>Ashborn Sentry</t>
  </si>
  <si>
    <t>Defense Unit</t>
  </si>
  <si>
    <t>0/3</t>
  </si>
  <si>
    <t>The shield goes in the front... right?</t>
  </si>
  <si>
    <t>ASH008</t>
  </si>
  <si>
    <t>Shield Bearer</t>
  </si>
  <si>
    <t>Invoke: Give the friendly unit with the lowest Health +1 Health.</t>
  </si>
  <si>
    <t>Finally found someone to bear the load.</t>
  </si>
  <si>
    <t>ASH009</t>
  </si>
  <si>
    <t>Ashborn Hunter</t>
  </si>
  <si>
    <t>Rare</t>
  </si>
  <si>
    <t>2/1</t>
  </si>
  <si>
    <t>Last Word: Deal 1 damage to a random enemy.</t>
  </si>
  <si>
    <t>Ain't no more deer in Blackthorn Vale.</t>
  </si>
  <si>
    <t>ASH010</t>
  </si>
  <si>
    <t>Traveling Merchant</t>
  </si>
  <si>
    <t>Reduce the cost of a random card in your hand by 1. Duration: 2 turns.</t>
  </si>
  <si>
    <t>That.. Uhh.. Fell of a caravan.</t>
  </si>
  <si>
    <t>ASH011</t>
  </si>
  <si>
    <t>Counter Intelligence</t>
  </si>
  <si>
    <t>See the lowest cost card in the enemy's hand.</t>
  </si>
  <si>
    <t>Shh... Don't tell them, I told you.</t>
  </si>
  <si>
    <t>ASH012</t>
  </si>
  <si>
    <t>Battle Apprentice</t>
  </si>
  <si>
    <t>Cleave</t>
  </si>
  <si>
    <t>I told you to hit the middle one!</t>
  </si>
  <si>
    <t>ASH013</t>
  </si>
  <si>
    <t>Sharpened Blade</t>
  </si>
  <si>
    <t>Give a random unit in your hand +2 Attack.</t>
  </si>
  <si>
    <t>Not the finest blade, but good enough.</t>
  </si>
  <si>
    <t>ASH014</t>
  </si>
  <si>
    <t>Untrained Cook</t>
  </si>
  <si>
    <t>1/3</t>
  </si>
  <si>
    <t>End of Turn: Add 1 Emergency Rations card to your hand.</t>
  </si>
  <si>
    <t>It might need a little salt.</t>
  </si>
  <si>
    <t>ASH015</t>
  </si>
  <si>
    <t>Ember Whelp</t>
  </si>
  <si>
    <t>Epic</t>
  </si>
  <si>
    <t>2/2</t>
  </si>
  <si>
    <t>Invoke: +2 Attack to all friendly Attack Units.</t>
  </si>
  <si>
    <t>I think I'll name him Norbert.</t>
  </si>
  <si>
    <t>ASH016</t>
  </si>
  <si>
    <t>Shield Maiden</t>
  </si>
  <si>
    <t>Berserk: Give your other units +1 Health.</t>
  </si>
  <si>
    <t>She gets a little defensive sometimes.</t>
  </si>
  <si>
    <t>ASH017</t>
  </si>
  <si>
    <t>Tactical Retreat</t>
  </si>
  <si>
    <t>Return a friendly unit to your hand.</t>
  </si>
  <si>
    <t>Come back when you're ready.</t>
  </si>
  <si>
    <t>ASH018</t>
  </si>
  <si>
    <t>Battle Drums</t>
  </si>
  <si>
    <t>End of Turn: Heal a damaged friendly unit 2 Health Duration: 2 turns</t>
  </si>
  <si>
    <t>If you can hear the drums, you can still fight.</t>
  </si>
  <si>
    <t>ASH019</t>
  </si>
  <si>
    <t>Ashborn Soldier</t>
  </si>
  <si>
    <t>3/1</t>
  </si>
  <si>
    <t>Point me at 'em.</t>
  </si>
  <si>
    <t>ASH020</t>
  </si>
  <si>
    <t>Ashborn Guard</t>
  </si>
  <si>
    <t>Someone has to stand here.</t>
  </si>
  <si>
    <t>ASH021</t>
  </si>
  <si>
    <t>Experimental Explosives</t>
  </si>
  <si>
    <t>Deal 1 damage to all enemy units. Repeat if a unit dies.</t>
  </si>
  <si>
    <t>What could possibly go wrong?</t>
  </si>
  <si>
    <t>ASH022</t>
  </si>
  <si>
    <t>Cinder Fang</t>
  </si>
  <si>
    <t>Berserk: Gain +1 Attack.</t>
  </si>
  <si>
    <t>Its bite is worse than its bark.</t>
  </si>
  <si>
    <t>ASH023</t>
  </si>
  <si>
    <t>Ironhide</t>
  </si>
  <si>
    <t>2/3</t>
  </si>
  <si>
    <t>Berserk: Gain +1 Health.</t>
  </si>
  <si>
    <t>I think you made it angry.</t>
  </si>
  <si>
    <t>ASH024</t>
  </si>
  <si>
    <t>Scorchling</t>
  </si>
  <si>
    <t>Invoke: Deal 1 damage to the enemy Hero.</t>
  </si>
  <si>
    <t>Need a light?</t>
  </si>
  <si>
    <t>ASH025</t>
  </si>
  <si>
    <t>Emberstone Golem</t>
  </si>
  <si>
    <t>1/4</t>
  </si>
  <si>
    <t>End of Turn: Gain +1 Attack while undamaged.</t>
  </si>
  <si>
    <t>The longer it stands, the harder it falls.</t>
  </si>
  <si>
    <t>ASH026</t>
  </si>
  <si>
    <t>Unbroken Banner</t>
  </si>
  <si>
    <t>Legendary</t>
  </si>
  <si>
    <t>Start of Turn: Give all units in your hand +1 Attack and Defense.</t>
  </si>
  <si>
    <t>The pride of the Ashborn Legion.</t>
  </si>
  <si>
    <t>ASH027</t>
  </si>
  <si>
    <t>Shield Wall</t>
  </si>
  <si>
    <t>1/5</t>
  </si>
  <si>
    <t>Only takes 1 damage while you control another friendly Defense Unit.</t>
  </si>
  <si>
    <t>Together we stand, divided we fall.</t>
  </si>
  <si>
    <t>ASH028</t>
  </si>
  <si>
    <t>Ironhide Rider</t>
  </si>
  <si>
    <t>Berserk: Gain +1 Defense for every friendly Animal.</t>
  </si>
  <si>
    <t>Aye.. It's a bumpy ride.</t>
  </si>
  <si>
    <t>ASH029</t>
  </si>
  <si>
    <t>Duskwing</t>
  </si>
  <si>
    <t>Last Word: Add a Cinder Scroll card to your hand</t>
  </si>
  <si>
    <t>Got it from some guy named Berk.</t>
  </si>
  <si>
    <t>ASH030</t>
  </si>
  <si>
    <t>Siege Engine</t>
  </si>
  <si>
    <t>3/2</t>
  </si>
  <si>
    <t>Start of Turn: Deal 1 damage to a random enemy.</t>
  </si>
  <si>
    <t>It'll hit something eventually.</t>
  </si>
  <si>
    <t>ASH031</t>
  </si>
  <si>
    <t>Cinderkin</t>
  </si>
  <si>
    <t>3/3</t>
  </si>
  <si>
    <t>Invoke: Gain +1 Attack for each card you've played this turn.</t>
  </si>
  <si>
    <t>Every spark feeds the blaze.</t>
  </si>
  <si>
    <t>ASH032</t>
  </si>
  <si>
    <t>Emberstone Brute</t>
  </si>
  <si>
    <t>4/3</t>
  </si>
  <si>
    <t>Forged in the Emberstone maintains.</t>
  </si>
  <si>
    <t>ASH033</t>
  </si>
  <si>
    <t>Ashenblade</t>
  </si>
  <si>
    <t>5/1</t>
  </si>
  <si>
    <t>Last Word: Draw a card</t>
  </si>
  <si>
    <t>The darkness guides my blade.</t>
  </si>
  <si>
    <t>ASH034</t>
  </si>
  <si>
    <t>Healing Rain</t>
  </si>
  <si>
    <t>Heal 5 damage split among your most damaged units.</t>
  </si>
  <si>
    <t>Ahh… That feels better.</t>
  </si>
  <si>
    <t>ASH035</t>
  </si>
  <si>
    <t>Weakening Mist</t>
  </si>
  <si>
    <t>Give all enemy units -1 Attack until your next turn.</t>
  </si>
  <si>
    <t>Even the bravest can lose their way.</t>
  </si>
  <si>
    <t>ASH036</t>
  </si>
  <si>
    <t>Chain Warden</t>
  </si>
  <si>
    <t>Start of Turn: Prevent the highest Attack enemy unit from attacking.</t>
  </si>
  <si>
    <t>It's a lot less chains than my last job.</t>
  </si>
  <si>
    <t>ASH037</t>
  </si>
  <si>
    <t>Challenge Banner</t>
  </si>
  <si>
    <t>Enemy units must attack your highest Defense unit. Duration: 2 turns</t>
  </si>
  <si>
    <t>Go on. Make your move.</t>
  </si>
  <si>
    <t>ASH038</t>
  </si>
  <si>
    <t>Pack Leader</t>
  </si>
  <si>
    <t>4/2</t>
  </si>
  <si>
    <t>Last Word: Summon a Cinder Fang.</t>
  </si>
  <si>
    <t>The pack is never alone.</t>
  </si>
  <si>
    <t>ASH039</t>
  </si>
  <si>
    <t>Battle Mage</t>
  </si>
  <si>
    <t>4/4</t>
  </si>
  <si>
    <t>Invoke: Deal 2 damage to an enemy.</t>
  </si>
  <si>
    <t>Fire flows through my veins.</t>
  </si>
  <si>
    <t>ASH040</t>
  </si>
  <si>
    <t>Embermaw</t>
  </si>
  <si>
    <t>Invoke: Gain +2 Defense if it's your only unit.</t>
  </si>
  <si>
    <t>Its scales are harder than steel.</t>
  </si>
  <si>
    <t>ASH041</t>
  </si>
  <si>
    <t>Ashen Bastion</t>
  </si>
  <si>
    <t>2/6</t>
  </si>
  <si>
    <t>They told us to hold the line.</t>
  </si>
  <si>
    <t>ASH042</t>
  </si>
  <si>
    <t>Emberguard</t>
  </si>
  <si>
    <t>3/5</t>
  </si>
  <si>
    <t>Last Word: Give your other friendly units +1 Defense.</t>
  </si>
  <si>
    <t>Solid as a rock.</t>
  </si>
  <si>
    <t>ASH043</t>
  </si>
  <si>
    <t>Bloodforged</t>
  </si>
  <si>
    <t>2/5</t>
  </si>
  <si>
    <t>Echo: Gain +1 Attack and +1 Defense.</t>
  </si>
  <si>
    <t>Pain is just another lesson.</t>
  </si>
  <si>
    <t>ASH044</t>
  </si>
  <si>
    <t>Stim Pack</t>
  </si>
  <si>
    <t>Give a friendly unit +3 Attack and +3 Defense until end of turn.</t>
  </si>
  <si>
    <t>You're gonna feel this in the morning.</t>
  </si>
  <si>
    <t>ASH045</t>
  </si>
  <si>
    <t>Arcane Scavanger</t>
  </si>
  <si>
    <t>Last Word: Return friendly spells played to your hand.</t>
  </si>
  <si>
    <t>Master likes the shinies.</t>
  </si>
  <si>
    <t>ASH046</t>
  </si>
  <si>
    <t>Magma Cleaver</t>
  </si>
  <si>
    <t>7/3</t>
  </si>
  <si>
    <t>One swing, three funerals.</t>
  </si>
  <si>
    <t>ASH047</t>
  </si>
  <si>
    <t>Ashwing Drake</t>
  </si>
  <si>
    <t>6/4</t>
  </si>
  <si>
    <t>Berserk: Gain +2 Attack.</t>
  </si>
  <si>
    <t>Poke it. I dare you.</t>
  </si>
  <si>
    <t>ASH048</t>
  </si>
  <si>
    <t>Bulwark Automaton</t>
  </si>
  <si>
    <t>2/9</t>
  </si>
  <si>
    <t>End of Turn: Gain +1 Defense while undamaged.</t>
  </si>
  <si>
    <t>Not one scratch. Not one.</t>
  </si>
  <si>
    <t>ASH049</t>
  </si>
  <si>
    <t>Trained Mastiff</t>
  </si>
  <si>
    <t>2/4</t>
  </si>
  <si>
    <t>Start of Turn: Give a random friendly unit +2 Attack.</t>
  </si>
  <si>
    <t>Good boy. Terrifying boy.</t>
  </si>
  <si>
    <t>ASH050</t>
  </si>
  <si>
    <t>Wildfire Surge</t>
  </si>
  <si>
    <t>Deal 3 damage to all enemy units.</t>
  </si>
  <si>
    <t>The forest remembers. The enemy won't.</t>
  </si>
  <si>
    <t>ASH051</t>
  </si>
  <si>
    <t>War Banner</t>
  </si>
  <si>
    <t>Raise it high. Let them see it coming.</t>
  </si>
  <si>
    <t>ASH052</t>
  </si>
  <si>
    <t>Direwolf Berserker</t>
  </si>
  <si>
    <t>9/4</t>
  </si>
  <si>
    <t>It doesn't stop at one.</t>
  </si>
  <si>
    <t>ASH053</t>
  </si>
  <si>
    <t>Cinder Lance</t>
  </si>
  <si>
    <t>Straight through. No apologies.</t>
  </si>
  <si>
    <t>ASH054</t>
  </si>
  <si>
    <t>Forge Standard</t>
  </si>
  <si>
    <t>Forged in the same fire as the Legion.</t>
  </si>
  <si>
    <t>ASH055</t>
  </si>
  <si>
    <t>Molten Colossus</t>
  </si>
  <si>
    <t>3/12</t>
  </si>
  <si>
    <t>It was already the size of a hill. Now it's angry.</t>
  </si>
  <si>
    <t>ASH056</t>
  </si>
  <si>
    <t>Cinderforge Warden</t>
  </si>
  <si>
    <t>Every fallen brother makes it stronger.</t>
  </si>
  <si>
    <t>ASH057</t>
  </si>
  <si>
    <t>Legion Juggernaut</t>
  </si>
  <si>
    <t>8/10</t>
  </si>
  <si>
    <t>It doesn't need a plan. It has momentum.</t>
  </si>
  <si>
    <t>ASH058</t>
  </si>
  <si>
    <t>Cataclysm</t>
  </si>
  <si>
    <t>Deal 5 damage to all enemy units and 3 damage to the enemy Hero.</t>
  </si>
  <si>
    <t>ASH059</t>
  </si>
  <si>
    <t>Emberwrath Dragonlord</t>
  </si>
  <si>
    <t>7/9</t>
  </si>
  <si>
    <t>Legends don't ask permission to land.</t>
  </si>
  <si>
    <t>ASH060</t>
  </si>
  <si>
    <t>12/11</t>
  </si>
  <si>
    <t>Last Word: Deal 8 damage to all enemy units.</t>
  </si>
  <si>
    <t>Target</t>
  </si>
  <si>
    <t>Completed</t>
  </si>
  <si>
    <t>Remaining</t>
  </si>
  <si>
    <t>TOTAL</t>
  </si>
  <si>
    <t>Keyword</t>
  </si>
  <si>
    <t>Definition</t>
  </si>
  <si>
    <t>Invoke</t>
  </si>
  <si>
    <t>Effect triggers as soon as card is played.</t>
  </si>
  <si>
    <t>End of Turn</t>
  </si>
  <si>
    <t>Effect triggers at the end of your turn.</t>
  </si>
  <si>
    <t>Start of Turn</t>
  </si>
  <si>
    <t>Effect triggers at the start of your turn.</t>
  </si>
  <si>
    <t>Attacks also hit adjacent units.</t>
  </si>
  <si>
    <t>Berserk</t>
  </si>
  <si>
    <t>Effect triggers on taking damage for the first time.</t>
  </si>
  <si>
    <t>Last Word</t>
  </si>
  <si>
    <t>Effect triggers on death.</t>
  </si>
  <si>
    <t>Echo</t>
  </si>
  <si>
    <t>Effect triggers whenever another friendly unit is destroyed (repeatable; distinct from Last Word, which only triggers on this unit's own death).</t>
  </si>
  <si>
    <t>Unit Type</t>
  </si>
  <si>
    <t>Human</t>
  </si>
  <si>
    <t>Humans and Humanoid units</t>
  </si>
  <si>
    <t>Animal</t>
  </si>
  <si>
    <t>Animals and Animal-like units</t>
  </si>
  <si>
    <t>Construct</t>
  </si>
  <si>
    <t>Magical or man made constructs</t>
  </si>
  <si>
    <t>Elemental</t>
  </si>
  <si>
    <t>Magical natural creatures/spirits</t>
  </si>
  <si>
    <t>Dragon</t>
  </si>
  <si>
    <t>Dragons</t>
  </si>
  <si>
    <t>Deal 7 damage to an enemy unit.</t>
  </si>
  <si>
    <t>End of Turn: Give a random friendly unit +3 Attack. Duration: 3 turns</t>
  </si>
  <si>
    <t>3/8</t>
  </si>
  <si>
    <t>Echo: Give a random unit in your hand and deck +2 Attack and +2 Defense.</t>
  </si>
  <si>
    <t>It came from .. Above!</t>
  </si>
  <si>
    <t>Invoke: Deal 4 damage to all enemy units. Summon a 3/3 Emberwyrmling.</t>
  </si>
  <si>
    <t>Your Attack units deal +2 damage when attacking. Duration: 3 turns</t>
  </si>
  <si>
    <t>The Ashen Warlord</t>
  </si>
  <si>
    <t>Even in death, my wrath lives 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</si>
</sst>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B28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49" fontId="1" fillId="2" borderId="0" xfId="0" applyNumberFormat="1" applyFont="1" applyFill="1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0" borderId="0" xfId="0" applyNumberFormat="1"/>
    <xf numFmtId="0" fontId="3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pane ySplit="1" topLeftCell="A31" activePane="bottomLeft" state="frozen"/>
      <selection pane="bottomLeft" activeCell="H62" sqref="H62"/>
    </sheetView>
  </sheetViews>
  <sheetFormatPr defaultRowHeight="15" x14ac:dyDescent="0.25"/>
  <cols>
    <col min="1" max="1" width="12" customWidth="1"/>
    <col min="2" max="2" width="24" customWidth="1"/>
    <col min="3" max="3" width="18" customWidth="1"/>
    <col min="4" max="4" width="8" style="9" customWidth="1"/>
    <col min="5" max="5" width="12" customWidth="1"/>
    <col min="6" max="6" width="16" style="6" customWidth="1"/>
    <col min="7" max="7" width="84.7109375" bestFit="1" customWidth="1"/>
    <col min="8" max="8" width="4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7" t="s">
        <v>3</v>
      </c>
      <c r="E1" s="1" t="s">
        <v>4</v>
      </c>
      <c r="F1" s="4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8">
        <v>0</v>
      </c>
      <c r="E2" s="2" t="s">
        <v>11</v>
      </c>
      <c r="F2" s="5" t="s">
        <v>12</v>
      </c>
      <c r="G2" s="2" t="s">
        <v>13</v>
      </c>
      <c r="H2" s="2" t="s">
        <v>14</v>
      </c>
    </row>
    <row r="3" spans="1:8" x14ac:dyDescent="0.25">
      <c r="A3" s="2" t="s">
        <v>15</v>
      </c>
      <c r="B3" s="2" t="s">
        <v>16</v>
      </c>
      <c r="C3" s="2" t="s">
        <v>17</v>
      </c>
      <c r="D3" s="8">
        <v>0</v>
      </c>
      <c r="E3" s="2" t="s">
        <v>11</v>
      </c>
      <c r="F3" s="5" t="s">
        <v>18</v>
      </c>
      <c r="G3" s="2" t="s">
        <v>19</v>
      </c>
      <c r="H3" s="2" t="s">
        <v>20</v>
      </c>
    </row>
    <row r="4" spans="1:8" x14ac:dyDescent="0.25">
      <c r="A4" s="2" t="s">
        <v>21</v>
      </c>
      <c r="B4" s="2" t="s">
        <v>22</v>
      </c>
      <c r="C4" s="2" t="s">
        <v>23</v>
      </c>
      <c r="D4" s="8">
        <v>0</v>
      </c>
      <c r="E4" s="2" t="s">
        <v>11</v>
      </c>
      <c r="F4" s="5" t="s">
        <v>18</v>
      </c>
      <c r="G4" s="5" t="s">
        <v>24</v>
      </c>
      <c r="H4" s="2" t="s">
        <v>25</v>
      </c>
    </row>
    <row r="5" spans="1:8" x14ac:dyDescent="0.25">
      <c r="A5" s="2" t="s">
        <v>26</v>
      </c>
      <c r="B5" s="2" t="s">
        <v>27</v>
      </c>
      <c r="C5" s="2" t="s">
        <v>10</v>
      </c>
      <c r="D5" s="8">
        <v>1</v>
      </c>
      <c r="E5" s="2" t="s">
        <v>11</v>
      </c>
      <c r="F5" s="5" t="s">
        <v>12</v>
      </c>
      <c r="G5" s="2" t="s">
        <v>28</v>
      </c>
      <c r="H5" s="2" t="s">
        <v>29</v>
      </c>
    </row>
    <row r="6" spans="1:8" x14ac:dyDescent="0.25">
      <c r="A6" s="2" t="s">
        <v>30</v>
      </c>
      <c r="B6" s="2" t="s">
        <v>31</v>
      </c>
      <c r="C6" s="2" t="s">
        <v>17</v>
      </c>
      <c r="D6" s="8">
        <v>1</v>
      </c>
      <c r="E6" s="2" t="s">
        <v>11</v>
      </c>
      <c r="F6" s="5" t="s">
        <v>18</v>
      </c>
      <c r="G6" s="2" t="s">
        <v>32</v>
      </c>
      <c r="H6" s="2" t="s">
        <v>33</v>
      </c>
    </row>
    <row r="7" spans="1:8" ht="17.25" customHeight="1" x14ac:dyDescent="0.25">
      <c r="A7" s="2" t="s">
        <v>34</v>
      </c>
      <c r="B7" s="2" t="s">
        <v>35</v>
      </c>
      <c r="C7" s="2" t="s">
        <v>36</v>
      </c>
      <c r="D7" s="8">
        <v>1</v>
      </c>
      <c r="E7" s="2" t="s">
        <v>11</v>
      </c>
      <c r="F7" s="5" t="s">
        <v>37</v>
      </c>
      <c r="G7" s="2" t="s">
        <v>38</v>
      </c>
      <c r="H7" s="2" t="s">
        <v>39</v>
      </c>
    </row>
    <row r="8" spans="1:8" x14ac:dyDescent="0.25">
      <c r="A8" s="2" t="s">
        <v>40</v>
      </c>
      <c r="B8" s="2" t="s">
        <v>41</v>
      </c>
      <c r="C8" s="2" t="s">
        <v>42</v>
      </c>
      <c r="D8" s="8">
        <v>1</v>
      </c>
      <c r="E8" s="2" t="s">
        <v>11</v>
      </c>
      <c r="F8" s="5" t="s">
        <v>43</v>
      </c>
      <c r="G8" s="2" t="s">
        <v>13</v>
      </c>
      <c r="H8" s="2" t="s">
        <v>44</v>
      </c>
    </row>
    <row r="9" spans="1:8" x14ac:dyDescent="0.25">
      <c r="A9" s="2" t="s">
        <v>45</v>
      </c>
      <c r="B9" s="2" t="s">
        <v>46</v>
      </c>
      <c r="C9" s="2" t="s">
        <v>42</v>
      </c>
      <c r="D9" s="8">
        <v>1</v>
      </c>
      <c r="E9" s="2" t="s">
        <v>11</v>
      </c>
      <c r="F9" s="5" t="s">
        <v>37</v>
      </c>
      <c r="G9" s="2" t="s">
        <v>47</v>
      </c>
      <c r="H9" s="2" t="s">
        <v>48</v>
      </c>
    </row>
    <row r="10" spans="1:8" x14ac:dyDescent="0.25">
      <c r="A10" s="2" t="s">
        <v>49</v>
      </c>
      <c r="B10" s="2" t="s">
        <v>50</v>
      </c>
      <c r="C10" s="2" t="s">
        <v>10</v>
      </c>
      <c r="D10" s="8">
        <v>1</v>
      </c>
      <c r="E10" s="2" t="s">
        <v>51</v>
      </c>
      <c r="F10" s="5" t="s">
        <v>52</v>
      </c>
      <c r="G10" s="2" t="s">
        <v>53</v>
      </c>
      <c r="H10" s="2" t="s">
        <v>54</v>
      </c>
    </row>
    <row r="11" spans="1:8" ht="15.75" customHeight="1" x14ac:dyDescent="0.25">
      <c r="A11" s="2" t="s">
        <v>55</v>
      </c>
      <c r="B11" s="2" t="s">
        <v>56</v>
      </c>
      <c r="C11" s="2" t="s">
        <v>23</v>
      </c>
      <c r="D11" s="8">
        <v>1</v>
      </c>
      <c r="E11" s="2" t="s">
        <v>11</v>
      </c>
      <c r="F11" s="5" t="s">
        <v>18</v>
      </c>
      <c r="G11" s="2" t="s">
        <v>57</v>
      </c>
      <c r="H11" s="2" t="s">
        <v>58</v>
      </c>
    </row>
    <row r="12" spans="1:8" x14ac:dyDescent="0.25">
      <c r="A12" s="2" t="s">
        <v>59</v>
      </c>
      <c r="B12" s="2" t="s">
        <v>60</v>
      </c>
      <c r="C12" s="2" t="s">
        <v>17</v>
      </c>
      <c r="D12" s="8">
        <v>1</v>
      </c>
      <c r="E12" s="2" t="s">
        <v>11</v>
      </c>
      <c r="F12" s="5" t="s">
        <v>18</v>
      </c>
      <c r="G12" s="2" t="s">
        <v>61</v>
      </c>
      <c r="H12" s="2" t="s">
        <v>62</v>
      </c>
    </row>
    <row r="13" spans="1:8" x14ac:dyDescent="0.25">
      <c r="A13" s="2" t="s">
        <v>63</v>
      </c>
      <c r="B13" s="2" t="s">
        <v>64</v>
      </c>
      <c r="C13" s="2" t="s">
        <v>10</v>
      </c>
      <c r="D13" s="8">
        <v>1</v>
      </c>
      <c r="E13" s="2" t="s">
        <v>51</v>
      </c>
      <c r="F13" s="5" t="s">
        <v>12</v>
      </c>
      <c r="G13" s="2" t="s">
        <v>65</v>
      </c>
      <c r="H13" s="2" t="s">
        <v>66</v>
      </c>
    </row>
    <row r="14" spans="1:8" x14ac:dyDescent="0.25">
      <c r="A14" s="2" t="s">
        <v>67</v>
      </c>
      <c r="B14" s="2" t="s">
        <v>68</v>
      </c>
      <c r="C14" s="2" t="s">
        <v>17</v>
      </c>
      <c r="D14" s="8">
        <v>1</v>
      </c>
      <c r="E14" s="2" t="s">
        <v>51</v>
      </c>
      <c r="F14" s="5" t="s">
        <v>18</v>
      </c>
      <c r="G14" s="2" t="s">
        <v>69</v>
      </c>
      <c r="H14" s="2" t="s">
        <v>70</v>
      </c>
    </row>
    <row r="15" spans="1:8" x14ac:dyDescent="0.25">
      <c r="A15" s="2" t="s">
        <v>71</v>
      </c>
      <c r="B15" s="2" t="s">
        <v>72</v>
      </c>
      <c r="C15" s="2" t="s">
        <v>36</v>
      </c>
      <c r="D15" s="8">
        <v>2</v>
      </c>
      <c r="E15" s="2" t="s">
        <v>51</v>
      </c>
      <c r="F15" s="5" t="s">
        <v>73</v>
      </c>
      <c r="G15" s="2" t="s">
        <v>74</v>
      </c>
      <c r="H15" s="2" t="s">
        <v>75</v>
      </c>
    </row>
    <row r="16" spans="1:8" x14ac:dyDescent="0.25">
      <c r="A16" s="2" t="s">
        <v>76</v>
      </c>
      <c r="B16" s="2" t="s">
        <v>77</v>
      </c>
      <c r="C16" s="2" t="s">
        <v>10</v>
      </c>
      <c r="D16" s="8">
        <v>2</v>
      </c>
      <c r="E16" s="2" t="s">
        <v>78</v>
      </c>
      <c r="F16" s="5" t="s">
        <v>79</v>
      </c>
      <c r="G16" s="2" t="s">
        <v>80</v>
      </c>
      <c r="H16" s="2" t="s">
        <v>81</v>
      </c>
    </row>
    <row r="17" spans="1:8" x14ac:dyDescent="0.25">
      <c r="A17" s="2" t="s">
        <v>82</v>
      </c>
      <c r="B17" s="2" t="s">
        <v>83</v>
      </c>
      <c r="C17" s="2" t="s">
        <v>42</v>
      </c>
      <c r="D17" s="8">
        <v>2</v>
      </c>
      <c r="E17" s="2" t="s">
        <v>11</v>
      </c>
      <c r="F17" s="5" t="s">
        <v>73</v>
      </c>
      <c r="G17" s="2" t="s">
        <v>84</v>
      </c>
      <c r="H17" s="2" t="s">
        <v>85</v>
      </c>
    </row>
    <row r="18" spans="1:8" x14ac:dyDescent="0.25">
      <c r="A18" s="2" t="s">
        <v>86</v>
      </c>
      <c r="B18" s="2" t="s">
        <v>87</v>
      </c>
      <c r="C18" s="2" t="s">
        <v>17</v>
      </c>
      <c r="D18" s="9">
        <v>2</v>
      </c>
      <c r="E18" s="2" t="s">
        <v>11</v>
      </c>
      <c r="F18" s="5" t="s">
        <v>18</v>
      </c>
      <c r="G18" s="2" t="s">
        <v>88</v>
      </c>
      <c r="H18" s="2" t="s">
        <v>89</v>
      </c>
    </row>
    <row r="19" spans="1:8" x14ac:dyDescent="0.25">
      <c r="A19" s="2" t="s">
        <v>90</v>
      </c>
      <c r="B19" s="2" t="s">
        <v>91</v>
      </c>
      <c r="C19" s="2" t="s">
        <v>23</v>
      </c>
      <c r="D19" s="9">
        <v>2</v>
      </c>
      <c r="E19" s="2" t="s">
        <v>11</v>
      </c>
      <c r="F19" s="5" t="s">
        <v>18</v>
      </c>
      <c r="G19" s="2" t="s">
        <v>92</v>
      </c>
      <c r="H19" s="2" t="s">
        <v>93</v>
      </c>
    </row>
    <row r="20" spans="1:8" x14ac:dyDescent="0.25">
      <c r="A20" s="2" t="s">
        <v>94</v>
      </c>
      <c r="B20" s="2" t="s">
        <v>95</v>
      </c>
      <c r="C20" s="2" t="s">
        <v>10</v>
      </c>
      <c r="D20" s="9">
        <v>2</v>
      </c>
      <c r="E20" s="2" t="s">
        <v>11</v>
      </c>
      <c r="F20" s="6" t="s">
        <v>96</v>
      </c>
      <c r="G20" s="2" t="s">
        <v>13</v>
      </c>
      <c r="H20" s="2" t="s">
        <v>97</v>
      </c>
    </row>
    <row r="21" spans="1:8" x14ac:dyDescent="0.25">
      <c r="A21" s="2" t="s">
        <v>98</v>
      </c>
      <c r="B21" s="2" t="s">
        <v>99</v>
      </c>
      <c r="C21" s="2" t="s">
        <v>42</v>
      </c>
      <c r="D21" s="9">
        <v>2</v>
      </c>
      <c r="E21" s="2" t="s">
        <v>11</v>
      </c>
      <c r="F21" s="6" t="s">
        <v>73</v>
      </c>
      <c r="G21" s="2" t="s">
        <v>13</v>
      </c>
      <c r="H21" s="2" t="s">
        <v>100</v>
      </c>
    </row>
    <row r="22" spans="1:8" x14ac:dyDescent="0.25">
      <c r="A22" s="2" t="s">
        <v>101</v>
      </c>
      <c r="B22" s="2" t="s">
        <v>102</v>
      </c>
      <c r="C22" s="2" t="s">
        <v>17</v>
      </c>
      <c r="D22" s="9">
        <v>2</v>
      </c>
      <c r="E22" s="2" t="s">
        <v>51</v>
      </c>
      <c r="F22" s="5" t="s">
        <v>18</v>
      </c>
      <c r="G22" s="2" t="s">
        <v>103</v>
      </c>
      <c r="H22" s="2" t="s">
        <v>104</v>
      </c>
    </row>
    <row r="23" spans="1:8" x14ac:dyDescent="0.25">
      <c r="A23" s="2" t="s">
        <v>105</v>
      </c>
      <c r="B23" s="2" t="s">
        <v>106</v>
      </c>
      <c r="C23" s="2" t="s">
        <v>10</v>
      </c>
      <c r="D23" s="9">
        <v>2</v>
      </c>
      <c r="E23" s="2" t="s">
        <v>11</v>
      </c>
      <c r="F23" s="6" t="s">
        <v>79</v>
      </c>
      <c r="G23" s="2" t="s">
        <v>107</v>
      </c>
      <c r="H23" s="2" t="s">
        <v>108</v>
      </c>
    </row>
    <row r="24" spans="1:8" x14ac:dyDescent="0.25">
      <c r="A24" s="2" t="s">
        <v>109</v>
      </c>
      <c r="B24" s="2" t="s">
        <v>110</v>
      </c>
      <c r="C24" s="2" t="s">
        <v>42</v>
      </c>
      <c r="D24" s="9">
        <v>2</v>
      </c>
      <c r="E24" s="2" t="s">
        <v>11</v>
      </c>
      <c r="F24" s="6" t="s">
        <v>111</v>
      </c>
      <c r="G24" t="s">
        <v>112</v>
      </c>
      <c r="H24" s="2" t="s">
        <v>113</v>
      </c>
    </row>
    <row r="25" spans="1:8" x14ac:dyDescent="0.25">
      <c r="A25" s="2" t="s">
        <v>114</v>
      </c>
      <c r="B25" s="2" t="s">
        <v>115</v>
      </c>
      <c r="C25" s="2" t="s">
        <v>10</v>
      </c>
      <c r="D25" s="9">
        <v>2</v>
      </c>
      <c r="E25" s="2" t="s">
        <v>11</v>
      </c>
      <c r="F25" s="6" t="s">
        <v>79</v>
      </c>
      <c r="G25" s="2" t="s">
        <v>116</v>
      </c>
      <c r="H25" s="2" t="s">
        <v>117</v>
      </c>
    </row>
    <row r="26" spans="1:8" x14ac:dyDescent="0.25">
      <c r="A26" s="2" t="s">
        <v>118</v>
      </c>
      <c r="B26" s="2" t="s">
        <v>119</v>
      </c>
      <c r="C26" s="2" t="s">
        <v>42</v>
      </c>
      <c r="D26" s="9">
        <v>2</v>
      </c>
      <c r="E26" s="2" t="s">
        <v>51</v>
      </c>
      <c r="F26" s="6" t="s">
        <v>120</v>
      </c>
      <c r="G26" s="2" t="s">
        <v>121</v>
      </c>
      <c r="H26" s="2" t="s">
        <v>122</v>
      </c>
    </row>
    <row r="27" spans="1:8" x14ac:dyDescent="0.25">
      <c r="A27" s="2" t="s">
        <v>123</v>
      </c>
      <c r="B27" s="2" t="s">
        <v>124</v>
      </c>
      <c r="C27" s="2" t="s">
        <v>36</v>
      </c>
      <c r="D27" s="9">
        <v>2</v>
      </c>
      <c r="E27" s="2" t="s">
        <v>125</v>
      </c>
      <c r="F27" s="6" t="s">
        <v>120</v>
      </c>
      <c r="G27" s="2" t="s">
        <v>126</v>
      </c>
      <c r="H27" s="2" t="s">
        <v>127</v>
      </c>
    </row>
    <row r="28" spans="1:8" ht="15.75" customHeight="1" x14ac:dyDescent="0.25">
      <c r="A28" s="2" t="s">
        <v>128</v>
      </c>
      <c r="B28" s="2" t="s">
        <v>129</v>
      </c>
      <c r="C28" s="2" t="s">
        <v>42</v>
      </c>
      <c r="D28" s="9">
        <v>3</v>
      </c>
      <c r="E28" s="2" t="s">
        <v>78</v>
      </c>
      <c r="F28" s="6" t="s">
        <v>130</v>
      </c>
      <c r="G28" s="2" t="s">
        <v>131</v>
      </c>
      <c r="H28" s="2" t="s">
        <v>132</v>
      </c>
    </row>
    <row r="29" spans="1:8" x14ac:dyDescent="0.25">
      <c r="A29" s="2" t="s">
        <v>133</v>
      </c>
      <c r="B29" s="2" t="s">
        <v>134</v>
      </c>
      <c r="C29" s="2" t="s">
        <v>42</v>
      </c>
      <c r="D29" s="9">
        <v>3</v>
      </c>
      <c r="E29" s="2" t="s">
        <v>51</v>
      </c>
      <c r="F29" s="6" t="s">
        <v>111</v>
      </c>
      <c r="G29" s="2" t="s">
        <v>135</v>
      </c>
      <c r="H29" s="2" t="s">
        <v>136</v>
      </c>
    </row>
    <row r="30" spans="1:8" x14ac:dyDescent="0.25">
      <c r="A30" s="2" t="s">
        <v>137</v>
      </c>
      <c r="B30" s="2" t="s">
        <v>138</v>
      </c>
      <c r="C30" s="2" t="s">
        <v>42</v>
      </c>
      <c r="D30" s="9">
        <v>3</v>
      </c>
      <c r="E30" s="2" t="s">
        <v>11</v>
      </c>
      <c r="F30" s="6" t="s">
        <v>111</v>
      </c>
      <c r="G30" s="2" t="s">
        <v>139</v>
      </c>
      <c r="H30" s="2" t="s">
        <v>140</v>
      </c>
    </row>
    <row r="31" spans="1:8" x14ac:dyDescent="0.25">
      <c r="A31" s="2" t="s">
        <v>141</v>
      </c>
      <c r="B31" s="2" t="s">
        <v>142</v>
      </c>
      <c r="C31" s="2" t="s">
        <v>10</v>
      </c>
      <c r="D31" s="9">
        <v>3</v>
      </c>
      <c r="E31" s="2" t="s">
        <v>11</v>
      </c>
      <c r="F31" s="6" t="s">
        <v>143</v>
      </c>
      <c r="G31" s="2" t="s">
        <v>144</v>
      </c>
      <c r="H31" s="2" t="s">
        <v>145</v>
      </c>
    </row>
    <row r="32" spans="1:8" x14ac:dyDescent="0.25">
      <c r="A32" s="2" t="s">
        <v>146</v>
      </c>
      <c r="B32" s="2" t="s">
        <v>147</v>
      </c>
      <c r="C32" s="2" t="s">
        <v>10</v>
      </c>
      <c r="D32" s="9">
        <v>3</v>
      </c>
      <c r="E32" s="2" t="s">
        <v>78</v>
      </c>
      <c r="F32" s="6" t="s">
        <v>148</v>
      </c>
      <c r="G32" s="2" t="s">
        <v>149</v>
      </c>
      <c r="H32" s="2" t="s">
        <v>150</v>
      </c>
    </row>
    <row r="33" spans="1:8" x14ac:dyDescent="0.25">
      <c r="A33" s="2" t="s">
        <v>151</v>
      </c>
      <c r="B33" s="2" t="s">
        <v>152</v>
      </c>
      <c r="C33" s="2" t="s">
        <v>10</v>
      </c>
      <c r="D33" s="9">
        <v>3</v>
      </c>
      <c r="E33" s="2" t="s">
        <v>51</v>
      </c>
      <c r="F33" s="6" t="s">
        <v>153</v>
      </c>
      <c r="G33" s="2" t="s">
        <v>13</v>
      </c>
      <c r="H33" s="2" t="s">
        <v>154</v>
      </c>
    </row>
    <row r="34" spans="1:8" x14ac:dyDescent="0.25">
      <c r="A34" s="2" t="s">
        <v>155</v>
      </c>
      <c r="B34" s="2" t="s">
        <v>156</v>
      </c>
      <c r="C34" s="2" t="s">
        <v>10</v>
      </c>
      <c r="D34" s="9">
        <v>3</v>
      </c>
      <c r="E34" s="2" t="s">
        <v>11</v>
      </c>
      <c r="F34" s="6" t="s">
        <v>157</v>
      </c>
      <c r="G34" s="2" t="s">
        <v>158</v>
      </c>
      <c r="H34" s="2" t="s">
        <v>159</v>
      </c>
    </row>
    <row r="35" spans="1:8" x14ac:dyDescent="0.25">
      <c r="A35" s="2" t="s">
        <v>160</v>
      </c>
      <c r="B35" s="2" t="s">
        <v>161</v>
      </c>
      <c r="C35" s="2" t="s">
        <v>17</v>
      </c>
      <c r="D35" s="9">
        <v>3</v>
      </c>
      <c r="E35" s="2" t="s">
        <v>51</v>
      </c>
      <c r="F35" s="5" t="s">
        <v>18</v>
      </c>
      <c r="G35" s="2" t="s">
        <v>162</v>
      </c>
      <c r="H35" s="2" t="s">
        <v>163</v>
      </c>
    </row>
    <row r="36" spans="1:8" x14ac:dyDescent="0.25">
      <c r="A36" s="2" t="s">
        <v>164</v>
      </c>
      <c r="B36" s="2" t="s">
        <v>165</v>
      </c>
      <c r="C36" s="2" t="s">
        <v>17</v>
      </c>
      <c r="D36" s="9">
        <v>3</v>
      </c>
      <c r="E36" s="2" t="s">
        <v>11</v>
      </c>
      <c r="F36" s="5" t="s">
        <v>18</v>
      </c>
      <c r="G36" s="2" t="s">
        <v>166</v>
      </c>
      <c r="H36" s="2" t="s">
        <v>167</v>
      </c>
    </row>
    <row r="37" spans="1:8" x14ac:dyDescent="0.25">
      <c r="A37" s="2" t="s">
        <v>168</v>
      </c>
      <c r="B37" s="2" t="s">
        <v>169</v>
      </c>
      <c r="C37" s="2" t="s">
        <v>36</v>
      </c>
      <c r="D37" s="9">
        <v>3</v>
      </c>
      <c r="E37" s="2" t="s">
        <v>11</v>
      </c>
      <c r="F37" s="6" t="s">
        <v>73</v>
      </c>
      <c r="G37" s="2" t="s">
        <v>170</v>
      </c>
      <c r="H37" s="2" t="s">
        <v>171</v>
      </c>
    </row>
    <row r="38" spans="1:8" ht="16.5" customHeight="1" x14ac:dyDescent="0.25">
      <c r="A38" s="2" t="s">
        <v>172</v>
      </c>
      <c r="B38" s="2" t="s">
        <v>173</v>
      </c>
      <c r="C38" s="2" t="s">
        <v>23</v>
      </c>
      <c r="D38" s="9">
        <v>3</v>
      </c>
      <c r="E38" s="2" t="s">
        <v>11</v>
      </c>
      <c r="F38" s="5" t="s">
        <v>18</v>
      </c>
      <c r="G38" s="2" t="s">
        <v>174</v>
      </c>
      <c r="H38" s="2" t="s">
        <v>175</v>
      </c>
    </row>
    <row r="39" spans="1:8" x14ac:dyDescent="0.25">
      <c r="A39" s="2" t="s">
        <v>176</v>
      </c>
      <c r="B39" s="2" t="s">
        <v>177</v>
      </c>
      <c r="C39" s="2" t="s">
        <v>10</v>
      </c>
      <c r="D39" s="9">
        <v>4</v>
      </c>
      <c r="E39" s="2" t="s">
        <v>11</v>
      </c>
      <c r="F39" s="6" t="s">
        <v>178</v>
      </c>
      <c r="G39" s="2" t="s">
        <v>179</v>
      </c>
      <c r="H39" s="2" t="s">
        <v>180</v>
      </c>
    </row>
    <row r="40" spans="1:8" x14ac:dyDescent="0.25">
      <c r="A40" s="2" t="s">
        <v>181</v>
      </c>
      <c r="B40" s="2" t="s">
        <v>182</v>
      </c>
      <c r="C40" s="2" t="s">
        <v>10</v>
      </c>
      <c r="D40" s="9">
        <v>4</v>
      </c>
      <c r="E40" s="2" t="s">
        <v>51</v>
      </c>
      <c r="F40" s="6" t="s">
        <v>183</v>
      </c>
      <c r="G40" s="2" t="s">
        <v>184</v>
      </c>
      <c r="H40" s="2" t="s">
        <v>185</v>
      </c>
    </row>
    <row r="41" spans="1:8" x14ac:dyDescent="0.25">
      <c r="A41" s="2" t="s">
        <v>186</v>
      </c>
      <c r="B41" s="2" t="s">
        <v>187</v>
      </c>
      <c r="C41" s="2" t="s">
        <v>10</v>
      </c>
      <c r="D41" s="9">
        <v>4</v>
      </c>
      <c r="E41" s="2" t="s">
        <v>11</v>
      </c>
      <c r="F41" s="6" t="s">
        <v>153</v>
      </c>
      <c r="G41" s="2" t="s">
        <v>188</v>
      </c>
      <c r="H41" s="2" t="s">
        <v>189</v>
      </c>
    </row>
    <row r="42" spans="1:8" x14ac:dyDescent="0.25">
      <c r="A42" s="2" t="s">
        <v>190</v>
      </c>
      <c r="B42" s="2" t="s">
        <v>191</v>
      </c>
      <c r="C42" s="2" t="s">
        <v>42</v>
      </c>
      <c r="D42" s="9">
        <v>4</v>
      </c>
      <c r="E42" s="2" t="s">
        <v>11</v>
      </c>
      <c r="F42" s="6" t="s">
        <v>192</v>
      </c>
      <c r="G42" s="2" t="s">
        <v>13</v>
      </c>
      <c r="H42" s="2" t="s">
        <v>193</v>
      </c>
    </row>
    <row r="43" spans="1:8" x14ac:dyDescent="0.25">
      <c r="A43" s="2" t="s">
        <v>194</v>
      </c>
      <c r="B43" s="2" t="s">
        <v>195</v>
      </c>
      <c r="C43" s="2" t="s">
        <v>42</v>
      </c>
      <c r="D43" s="9">
        <v>4</v>
      </c>
      <c r="E43" s="2" t="s">
        <v>11</v>
      </c>
      <c r="F43" s="6" t="s">
        <v>196</v>
      </c>
      <c r="G43" s="2" t="s">
        <v>197</v>
      </c>
      <c r="H43" s="2" t="s">
        <v>198</v>
      </c>
    </row>
    <row r="44" spans="1:8" ht="17.25" customHeight="1" x14ac:dyDescent="0.25">
      <c r="A44" s="2" t="s">
        <v>199</v>
      </c>
      <c r="B44" s="2" t="s">
        <v>200</v>
      </c>
      <c r="C44" s="2" t="s">
        <v>42</v>
      </c>
      <c r="D44" s="9">
        <v>4</v>
      </c>
      <c r="E44" s="2" t="s">
        <v>78</v>
      </c>
      <c r="F44" s="6" t="s">
        <v>201</v>
      </c>
      <c r="G44" s="2" t="s">
        <v>202</v>
      </c>
      <c r="H44" s="2" t="s">
        <v>203</v>
      </c>
    </row>
    <row r="45" spans="1:8" x14ac:dyDescent="0.25">
      <c r="A45" s="2" t="s">
        <v>204</v>
      </c>
      <c r="B45" s="2" t="s">
        <v>205</v>
      </c>
      <c r="C45" s="2" t="s">
        <v>17</v>
      </c>
      <c r="D45" s="9">
        <v>4</v>
      </c>
      <c r="E45" s="2" t="s">
        <v>51</v>
      </c>
      <c r="F45" s="5" t="s">
        <v>18</v>
      </c>
      <c r="G45" s="2" t="s">
        <v>206</v>
      </c>
      <c r="H45" s="2" t="s">
        <v>207</v>
      </c>
    </row>
    <row r="46" spans="1:8" x14ac:dyDescent="0.25">
      <c r="A46" s="2" t="s">
        <v>208</v>
      </c>
      <c r="B46" s="2" t="s">
        <v>209</v>
      </c>
      <c r="C46" s="2" t="s">
        <v>36</v>
      </c>
      <c r="D46" s="9">
        <v>4</v>
      </c>
      <c r="E46" s="2" t="s">
        <v>11</v>
      </c>
      <c r="F46" s="6" t="s">
        <v>148</v>
      </c>
      <c r="G46" s="2" t="s">
        <v>210</v>
      </c>
      <c r="H46" s="2" t="s">
        <v>211</v>
      </c>
    </row>
    <row r="47" spans="1:8" x14ac:dyDescent="0.25">
      <c r="A47" t="s">
        <v>212</v>
      </c>
      <c r="B47" t="s">
        <v>213</v>
      </c>
      <c r="C47" t="s">
        <v>10</v>
      </c>
      <c r="D47">
        <v>5</v>
      </c>
      <c r="E47" t="s">
        <v>11</v>
      </c>
      <c r="F47" s="6" t="s">
        <v>214</v>
      </c>
      <c r="G47" t="s">
        <v>65</v>
      </c>
      <c r="H47" t="s">
        <v>215</v>
      </c>
    </row>
    <row r="48" spans="1:8" x14ac:dyDescent="0.25">
      <c r="A48" t="s">
        <v>216</v>
      </c>
      <c r="B48" t="s">
        <v>217</v>
      </c>
      <c r="C48" t="s">
        <v>10</v>
      </c>
      <c r="D48">
        <v>5</v>
      </c>
      <c r="E48" t="s">
        <v>11</v>
      </c>
      <c r="F48" s="6" t="s">
        <v>218</v>
      </c>
      <c r="G48" t="s">
        <v>219</v>
      </c>
      <c r="H48" t="s">
        <v>220</v>
      </c>
    </row>
    <row r="49" spans="1:8" x14ac:dyDescent="0.25">
      <c r="A49" t="s">
        <v>221</v>
      </c>
      <c r="B49" t="s">
        <v>222</v>
      </c>
      <c r="C49" t="s">
        <v>42</v>
      </c>
      <c r="D49">
        <v>5</v>
      </c>
      <c r="E49" t="s">
        <v>11</v>
      </c>
      <c r="F49" s="6" t="s">
        <v>223</v>
      </c>
      <c r="G49" t="s">
        <v>224</v>
      </c>
      <c r="H49" t="s">
        <v>225</v>
      </c>
    </row>
    <row r="50" spans="1:8" x14ac:dyDescent="0.25">
      <c r="A50" t="s">
        <v>226</v>
      </c>
      <c r="B50" t="s">
        <v>227</v>
      </c>
      <c r="C50" t="s">
        <v>36</v>
      </c>
      <c r="D50">
        <v>5</v>
      </c>
      <c r="E50" t="s">
        <v>11</v>
      </c>
      <c r="F50" s="6" t="s">
        <v>228</v>
      </c>
      <c r="G50" t="s">
        <v>229</v>
      </c>
      <c r="H50" t="s">
        <v>230</v>
      </c>
    </row>
    <row r="51" spans="1:8" x14ac:dyDescent="0.25">
      <c r="A51" t="s">
        <v>231</v>
      </c>
      <c r="B51" t="s">
        <v>232</v>
      </c>
      <c r="C51" t="s">
        <v>17</v>
      </c>
      <c r="D51">
        <v>5</v>
      </c>
      <c r="E51" t="s">
        <v>51</v>
      </c>
      <c r="F51" s="6" t="s">
        <v>18</v>
      </c>
      <c r="G51" t="s">
        <v>233</v>
      </c>
      <c r="H51" t="s">
        <v>234</v>
      </c>
    </row>
    <row r="52" spans="1:8" x14ac:dyDescent="0.25">
      <c r="A52" t="s">
        <v>235</v>
      </c>
      <c r="B52" t="s">
        <v>236</v>
      </c>
      <c r="C52" t="s">
        <v>23</v>
      </c>
      <c r="D52">
        <v>5</v>
      </c>
      <c r="E52" t="s">
        <v>11</v>
      </c>
      <c r="F52" s="6" t="s">
        <v>18</v>
      </c>
      <c r="G52" t="s">
        <v>305</v>
      </c>
      <c r="H52" t="s">
        <v>237</v>
      </c>
    </row>
    <row r="53" spans="1:8" x14ac:dyDescent="0.25">
      <c r="A53" t="s">
        <v>238</v>
      </c>
      <c r="B53" t="s">
        <v>239</v>
      </c>
      <c r="C53" t="s">
        <v>10</v>
      </c>
      <c r="D53">
        <v>6</v>
      </c>
      <c r="E53" t="s">
        <v>51</v>
      </c>
      <c r="F53" s="6" t="s">
        <v>240</v>
      </c>
      <c r="G53" t="s">
        <v>65</v>
      </c>
      <c r="H53" t="s">
        <v>241</v>
      </c>
    </row>
    <row r="54" spans="1:8" x14ac:dyDescent="0.25">
      <c r="A54" t="s">
        <v>242</v>
      </c>
      <c r="B54" t="s">
        <v>243</v>
      </c>
      <c r="C54" t="s">
        <v>17</v>
      </c>
      <c r="D54">
        <v>6</v>
      </c>
      <c r="E54" t="s">
        <v>11</v>
      </c>
      <c r="F54" s="6" t="s">
        <v>18</v>
      </c>
      <c r="G54" t="s">
        <v>299</v>
      </c>
      <c r="H54" t="s">
        <v>244</v>
      </c>
    </row>
    <row r="55" spans="1:8" x14ac:dyDescent="0.25">
      <c r="A55" t="s">
        <v>245</v>
      </c>
      <c r="B55" t="s">
        <v>246</v>
      </c>
      <c r="C55" t="s">
        <v>23</v>
      </c>
      <c r="D55">
        <v>6</v>
      </c>
      <c r="E55" t="s">
        <v>11</v>
      </c>
      <c r="F55" s="6" t="s">
        <v>18</v>
      </c>
      <c r="G55" t="s">
        <v>300</v>
      </c>
      <c r="H55" t="s">
        <v>247</v>
      </c>
    </row>
    <row r="56" spans="1:8" x14ac:dyDescent="0.25">
      <c r="A56" t="s">
        <v>248</v>
      </c>
      <c r="B56" t="s">
        <v>249</v>
      </c>
      <c r="C56" t="s">
        <v>42</v>
      </c>
      <c r="D56">
        <v>7</v>
      </c>
      <c r="E56" t="s">
        <v>51</v>
      </c>
      <c r="F56" s="6" t="s">
        <v>250</v>
      </c>
      <c r="G56" t="s">
        <v>219</v>
      </c>
      <c r="H56" t="s">
        <v>251</v>
      </c>
    </row>
    <row r="57" spans="1:8" x14ac:dyDescent="0.25">
      <c r="A57" t="s">
        <v>252</v>
      </c>
      <c r="B57" t="s">
        <v>253</v>
      </c>
      <c r="C57" t="s">
        <v>36</v>
      </c>
      <c r="D57">
        <v>7</v>
      </c>
      <c r="E57" t="s">
        <v>78</v>
      </c>
      <c r="F57" s="6" t="s">
        <v>301</v>
      </c>
      <c r="G57" t="s">
        <v>302</v>
      </c>
      <c r="H57" t="s">
        <v>254</v>
      </c>
    </row>
    <row r="58" spans="1:8" x14ac:dyDescent="0.25">
      <c r="A58" t="s">
        <v>255</v>
      </c>
      <c r="B58" t="s">
        <v>256</v>
      </c>
      <c r="C58" t="s">
        <v>10</v>
      </c>
      <c r="D58">
        <v>8</v>
      </c>
      <c r="E58" t="s">
        <v>11</v>
      </c>
      <c r="F58" s="6" t="s">
        <v>257</v>
      </c>
      <c r="G58" t="s">
        <v>13</v>
      </c>
      <c r="H58" t="s">
        <v>258</v>
      </c>
    </row>
    <row r="59" spans="1:8" x14ac:dyDescent="0.25">
      <c r="A59" t="s">
        <v>259</v>
      </c>
      <c r="B59" t="s">
        <v>260</v>
      </c>
      <c r="C59" t="s">
        <v>17</v>
      </c>
      <c r="D59">
        <v>8</v>
      </c>
      <c r="E59" t="s">
        <v>78</v>
      </c>
      <c r="F59" s="6" t="s">
        <v>18</v>
      </c>
      <c r="G59" t="s">
        <v>261</v>
      </c>
      <c r="H59" t="s">
        <v>303</v>
      </c>
    </row>
    <row r="60" spans="1:8" x14ac:dyDescent="0.25">
      <c r="A60" t="s">
        <v>262</v>
      </c>
      <c r="B60" t="s">
        <v>263</v>
      </c>
      <c r="C60" t="s">
        <v>10</v>
      </c>
      <c r="D60">
        <v>9</v>
      </c>
      <c r="E60" t="s">
        <v>125</v>
      </c>
      <c r="F60" s="6" t="s">
        <v>264</v>
      </c>
      <c r="G60" t="s">
        <v>304</v>
      </c>
      <c r="H60" t="s">
        <v>265</v>
      </c>
    </row>
    <row r="61" spans="1:8" x14ac:dyDescent="0.25">
      <c r="A61" t="s">
        <v>266</v>
      </c>
      <c r="B61" t="s">
        <v>306</v>
      </c>
      <c r="C61" t="s">
        <v>10</v>
      </c>
      <c r="D61">
        <v>10</v>
      </c>
      <c r="E61" t="s">
        <v>125</v>
      </c>
      <c r="F61" s="6" t="s">
        <v>267</v>
      </c>
      <c r="G61" t="s">
        <v>268</v>
      </c>
      <c r="H61" t="s">
        <v>307</v>
      </c>
    </row>
  </sheetData>
  <autoFilter ref="A1:H16" xr:uid="{00000000-0009-0000-0000-000000000000}"/>
  <dataValidations count="2">
    <dataValidation type="list" allowBlank="1" sqref="C2:C500" xr:uid="{00000000-0002-0000-0000-000000000000}">
      <formula1>"Attack Unit,Defense Unit,Support Unit,Spell,Support"</formula1>
    </dataValidation>
    <dataValidation type="list" allowBlank="1" sqref="E2:E500" xr:uid="{00000000-0002-0000-0000-000001000000}">
      <formula1>"Common,Rare,Epic,Legendary"</formula1>
    </dataValidation>
  </dataValidation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12" customWidth="1"/>
    <col min="3" max="4" width="14" customWidth="1"/>
  </cols>
  <sheetData>
    <row r="1" spans="1:4" x14ac:dyDescent="0.25">
      <c r="A1" s="3" t="s">
        <v>3</v>
      </c>
      <c r="B1" s="3" t="s">
        <v>269</v>
      </c>
      <c r="C1" s="3" t="s">
        <v>270</v>
      </c>
      <c r="D1" s="3" t="s">
        <v>271</v>
      </c>
    </row>
    <row r="2" spans="1:4" x14ac:dyDescent="0.25">
      <c r="A2">
        <v>0</v>
      </c>
      <c r="B2">
        <v>3</v>
      </c>
      <c r="C2">
        <f>COUNTIF('Ashborn Cards'!D:D,A2)</f>
        <v>3</v>
      </c>
      <c r="D2">
        <f t="shared" ref="D2:D12" si="0">B2-C2</f>
        <v>0</v>
      </c>
    </row>
    <row r="3" spans="1:4" x14ac:dyDescent="0.25">
      <c r="A3">
        <v>1</v>
      </c>
      <c r="B3">
        <v>10</v>
      </c>
      <c r="C3">
        <f>COUNTIF('Ashborn Cards'!D:D,A3)</f>
        <v>10</v>
      </c>
      <c r="D3">
        <f t="shared" si="0"/>
        <v>0</v>
      </c>
    </row>
    <row r="4" spans="1:4" x14ac:dyDescent="0.25">
      <c r="A4">
        <v>2</v>
      </c>
      <c r="B4">
        <v>13</v>
      </c>
      <c r="C4">
        <f>COUNTIF('Ashborn Cards'!D:D,A4)</f>
        <v>13</v>
      </c>
      <c r="D4">
        <f t="shared" si="0"/>
        <v>0</v>
      </c>
    </row>
    <row r="5" spans="1:4" x14ac:dyDescent="0.25">
      <c r="A5">
        <v>3</v>
      </c>
      <c r="B5">
        <v>11</v>
      </c>
      <c r="C5">
        <f>COUNTIF('Ashborn Cards'!D:D,A5)</f>
        <v>11</v>
      </c>
      <c r="D5">
        <f t="shared" si="0"/>
        <v>0</v>
      </c>
    </row>
    <row r="6" spans="1:4" x14ac:dyDescent="0.25">
      <c r="A6">
        <v>4</v>
      </c>
      <c r="B6">
        <v>8</v>
      </c>
      <c r="C6">
        <f>COUNTIF('Ashborn Cards'!D:D,A6)</f>
        <v>8</v>
      </c>
      <c r="D6">
        <f t="shared" si="0"/>
        <v>0</v>
      </c>
    </row>
    <row r="7" spans="1:4" x14ac:dyDescent="0.25">
      <c r="A7">
        <v>5</v>
      </c>
      <c r="B7">
        <v>6</v>
      </c>
      <c r="C7">
        <f>COUNTIF('Ashborn Cards'!D:D,A7)</f>
        <v>6</v>
      </c>
      <c r="D7">
        <f t="shared" si="0"/>
        <v>0</v>
      </c>
    </row>
    <row r="8" spans="1:4" x14ac:dyDescent="0.25">
      <c r="A8">
        <v>6</v>
      </c>
      <c r="B8">
        <v>3</v>
      </c>
      <c r="C8">
        <f>COUNTIF('Ashborn Cards'!D:D,A8)</f>
        <v>3</v>
      </c>
      <c r="D8">
        <f t="shared" si="0"/>
        <v>0</v>
      </c>
    </row>
    <row r="9" spans="1:4" x14ac:dyDescent="0.25">
      <c r="A9">
        <v>7</v>
      </c>
      <c r="B9">
        <v>2</v>
      </c>
      <c r="C9">
        <f>COUNTIF('Ashborn Cards'!D:D,A9)</f>
        <v>2</v>
      </c>
      <c r="D9">
        <f t="shared" si="0"/>
        <v>0</v>
      </c>
    </row>
    <row r="10" spans="1:4" x14ac:dyDescent="0.25">
      <c r="A10">
        <v>8</v>
      </c>
      <c r="B10">
        <v>2</v>
      </c>
      <c r="C10">
        <f>COUNTIF('Ashborn Cards'!D:D,A10)</f>
        <v>2</v>
      </c>
      <c r="D10">
        <f t="shared" si="0"/>
        <v>0</v>
      </c>
    </row>
    <row r="11" spans="1:4" x14ac:dyDescent="0.25">
      <c r="A11">
        <v>9</v>
      </c>
      <c r="B11">
        <v>1</v>
      </c>
      <c r="C11">
        <f>COUNTIF('Ashborn Cards'!D:D,A11)</f>
        <v>1</v>
      </c>
      <c r="D11">
        <f t="shared" si="0"/>
        <v>0</v>
      </c>
    </row>
    <row r="12" spans="1:4" x14ac:dyDescent="0.25">
      <c r="A12">
        <v>10</v>
      </c>
      <c r="B12">
        <v>1</v>
      </c>
      <c r="C12">
        <f>COUNTIF('Ashborn Cards'!D:D,A12)</f>
        <v>1</v>
      </c>
      <c r="D12">
        <f t="shared" si="0"/>
        <v>0</v>
      </c>
    </row>
    <row r="13" spans="1:4" x14ac:dyDescent="0.25">
      <c r="A13" t="s">
        <v>272</v>
      </c>
      <c r="B13">
        <f>SUM(B2:B12)</f>
        <v>60</v>
      </c>
      <c r="C13">
        <f>SUM(C2:C12)</f>
        <v>60</v>
      </c>
      <c r="D13">
        <f>SUM(D2:D12)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>
      <selection activeCell="A8" sqref="A8"/>
    </sheetView>
  </sheetViews>
  <sheetFormatPr defaultRowHeight="15" x14ac:dyDescent="0.25"/>
  <cols>
    <col min="1" max="1" width="20" customWidth="1"/>
    <col min="2" max="2" width="65" customWidth="1"/>
  </cols>
  <sheetData>
    <row r="1" spans="1:2" x14ac:dyDescent="0.25">
      <c r="A1" s="1" t="s">
        <v>273</v>
      </c>
      <c r="B1" s="1" t="s">
        <v>274</v>
      </c>
    </row>
    <row r="2" spans="1:2" x14ac:dyDescent="0.25">
      <c r="A2" s="2" t="s">
        <v>275</v>
      </c>
      <c r="B2" s="2" t="s">
        <v>276</v>
      </c>
    </row>
    <row r="3" spans="1:2" x14ac:dyDescent="0.25">
      <c r="A3" s="2" t="s">
        <v>277</v>
      </c>
      <c r="B3" s="2" t="s">
        <v>278</v>
      </c>
    </row>
    <row r="4" spans="1:2" x14ac:dyDescent="0.25">
      <c r="A4" s="2" t="s">
        <v>279</v>
      </c>
      <c r="B4" s="2" t="s">
        <v>280</v>
      </c>
    </row>
    <row r="5" spans="1:2" x14ac:dyDescent="0.25">
      <c r="A5" s="2" t="s">
        <v>65</v>
      </c>
      <c r="B5" s="2" t="s">
        <v>281</v>
      </c>
    </row>
    <row r="6" spans="1:2" x14ac:dyDescent="0.25">
      <c r="A6" s="2" t="s">
        <v>282</v>
      </c>
      <c r="B6" s="2" t="s">
        <v>283</v>
      </c>
    </row>
    <row r="7" spans="1:2" x14ac:dyDescent="0.25">
      <c r="A7" s="2" t="s">
        <v>284</v>
      </c>
      <c r="B7" s="2" t="s">
        <v>285</v>
      </c>
    </row>
    <row r="8" spans="1:2" x14ac:dyDescent="0.25">
      <c r="A8" t="s">
        <v>286</v>
      </c>
      <c r="B8" t="s">
        <v>287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>
      <selection activeCell="D23" sqref="D23"/>
    </sheetView>
  </sheetViews>
  <sheetFormatPr defaultRowHeight="15" x14ac:dyDescent="0.25"/>
  <cols>
    <col min="1" max="1" width="20" customWidth="1"/>
    <col min="2" max="2" width="65" customWidth="1"/>
  </cols>
  <sheetData>
    <row r="1" spans="1:2" x14ac:dyDescent="0.25">
      <c r="A1" s="1" t="s">
        <v>288</v>
      </c>
      <c r="B1" s="1" t="s">
        <v>274</v>
      </c>
    </row>
    <row r="2" spans="1:2" x14ac:dyDescent="0.25">
      <c r="A2" s="2" t="s">
        <v>289</v>
      </c>
      <c r="B2" s="2" t="s">
        <v>290</v>
      </c>
    </row>
    <row r="3" spans="1:2" x14ac:dyDescent="0.25">
      <c r="A3" s="2" t="s">
        <v>291</v>
      </c>
      <c r="B3" s="2" t="s">
        <v>292</v>
      </c>
    </row>
    <row r="4" spans="1:2" x14ac:dyDescent="0.25">
      <c r="A4" s="2" t="s">
        <v>293</v>
      </c>
      <c r="B4" s="2" t="s">
        <v>294</v>
      </c>
    </row>
    <row r="5" spans="1:2" x14ac:dyDescent="0.25">
      <c r="A5" s="2" t="s">
        <v>295</v>
      </c>
      <c r="B5" s="2" t="s">
        <v>296</v>
      </c>
    </row>
    <row r="6" spans="1:2" x14ac:dyDescent="0.25">
      <c r="A6" s="2" t="s">
        <v>297</v>
      </c>
      <c r="B6" s="2" t="s">
        <v>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Ashborn Cards</vt:lpstr>
      <vt:lpstr>Ashborn Tracker</vt:lpstr>
      <vt:lpstr>Locked Keywords</vt:lpstr>
      <vt:lpstr>Unit 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Ruan Heyns</cp:lastModifiedBy>
  <dcterms:created xsi:type="dcterms:W3CDTF">2026-08-09T12:32:43Z</dcterms:created>
  <dcterms:modified xsi:type="dcterms:W3CDTF">2026-08-14T16:34:53Z</dcterms:modified>
</cp:coreProperties>
</file>